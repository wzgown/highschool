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00" windowHeight="14540"/>
  </bookViews>
  <sheets>
    <sheet name="分配到区" sheetId="1" r:id="rId1"/>
    <sheet name="分配到校" sheetId="2" r:id="rId2"/>
    <sheet name="平行志愿" sheetId="4" r:id="rId3"/>
    <sheet name="历年初中在校生人数" sheetId="3" r:id="rId4"/>
  </sheets>
  <calcPr calcId="144525"/>
</workbook>
</file>

<file path=xl/sharedStrings.xml><?xml version="1.0" encoding="utf-8"?>
<sst xmlns="http://schemas.openxmlformats.org/spreadsheetml/2006/main" count="131" uniqueCount="122">
  <si>
    <t>招生学校</t>
  </si>
  <si>
    <t>最低分</t>
  </si>
  <si>
    <t>语数英</t>
  </si>
  <si>
    <t>数学</t>
  </si>
  <si>
    <t>语文</t>
  </si>
  <si>
    <t>综测</t>
  </si>
  <si>
    <t>名额</t>
  </si>
  <si>
    <r>
      <rPr>
        <sz val="10"/>
        <color rgb="FF000000"/>
        <rFont val="STSong-Light"/>
        <charset val="134"/>
      </rPr>
      <t>上海市上海中学</t>
    </r>
  </si>
  <si>
    <t>总名额</t>
  </si>
  <si>
    <t>考生人数</t>
  </si>
  <si>
    <t>全市总考生</t>
  </si>
  <si>
    <t>市重点录取率</t>
  </si>
  <si>
    <r>
      <rPr>
        <sz val="10"/>
        <color rgb="FF000000"/>
        <rFont val="STSong-Light"/>
        <charset val="134"/>
      </rPr>
      <t>复旦大学附属中学</t>
    </r>
  </si>
  <si>
    <r>
      <rPr>
        <sz val="10"/>
        <color rgb="FF000000"/>
        <rFont val="STSong-Light"/>
        <charset val="134"/>
      </rPr>
      <t>华东师范大学第二附属中学</t>
    </r>
  </si>
  <si>
    <r>
      <rPr>
        <sz val="10"/>
        <color rgb="FF000000"/>
        <rFont val="STSong-Light"/>
        <charset val="134"/>
      </rPr>
      <t>复旦大学附属中学青浦分校</t>
    </r>
  </si>
  <si>
    <r>
      <rPr>
        <sz val="10"/>
        <color rgb="FF000000"/>
        <rFont val="STSong-Light"/>
        <charset val="134"/>
      </rPr>
      <t>上海交通大学附属中学</t>
    </r>
  </si>
  <si>
    <t>华东师范大学第二附属中学（紫竹校区）</t>
  </si>
  <si>
    <t>上海交通大学附属中学嘉定分校</t>
  </si>
  <si>
    <r>
      <rPr>
        <sz val="10"/>
        <color rgb="FF000000"/>
        <rFont val="STSong-Light"/>
        <charset val="134"/>
      </rPr>
      <t>上海市七宝中学</t>
    </r>
  </si>
  <si>
    <t>华东师范大学第二附属中学（普陀校区）</t>
  </si>
  <si>
    <r>
      <rPr>
        <sz val="10"/>
        <color rgb="FF000000"/>
        <rFont val="STSong-Light"/>
        <charset val="134"/>
      </rPr>
      <t>上海市南洋模范中学</t>
    </r>
  </si>
  <si>
    <r>
      <rPr>
        <sz val="10"/>
        <color rgb="FF000000"/>
        <rFont val="STSong-Light"/>
        <charset val="134"/>
      </rPr>
      <t>上海市松江二中</t>
    </r>
  </si>
  <si>
    <r>
      <rPr>
        <sz val="10"/>
        <color rgb="FF000000"/>
        <rFont val="STSong-Light"/>
        <charset val="134"/>
      </rPr>
      <t>上海市建平中学</t>
    </r>
  </si>
  <si>
    <r>
      <rPr>
        <sz val="10"/>
        <color rgb="FF000000"/>
        <rFont val="STSong-Light"/>
        <charset val="134"/>
      </rPr>
      <t>上海市浦东复旦附中分校</t>
    </r>
  </si>
  <si>
    <t>华东师范大学第二附属中学（宝山校区）</t>
  </si>
  <si>
    <r>
      <rPr>
        <sz val="10"/>
        <color rgb="FF000000"/>
        <rFont val="STSong-Light"/>
        <charset val="134"/>
      </rPr>
      <t>上海市位育中学</t>
    </r>
  </si>
  <si>
    <r>
      <rPr>
        <sz val="10"/>
        <color rgb="FF000000"/>
        <rFont val="STSong-Light"/>
        <charset val="134"/>
      </rPr>
      <t>上海市曹杨第二中学</t>
    </r>
  </si>
  <si>
    <t>华东师范大学第二附属中学松江分校</t>
  </si>
  <si>
    <r>
      <rPr>
        <sz val="10"/>
        <color rgb="FF000000"/>
        <rFont val="STSong-Light"/>
        <charset val="134"/>
      </rPr>
      <t>上海市嘉定区第一中学</t>
    </r>
  </si>
  <si>
    <r>
      <rPr>
        <sz val="10"/>
        <color rgb="FF000000"/>
        <rFont val="STSong-Light"/>
        <charset val="134"/>
      </rPr>
      <t>上海市延安中学</t>
    </r>
  </si>
  <si>
    <r>
      <rPr>
        <sz val="10"/>
        <color rgb="FF000000"/>
        <rFont val="STSong-Light"/>
        <charset val="134"/>
      </rPr>
      <t>上海师范大学附属中学</t>
    </r>
  </si>
  <si>
    <r>
      <rPr>
        <sz val="10"/>
        <color rgb="FF000000"/>
        <rFont val="STSong-Light"/>
        <charset val="134"/>
      </rPr>
      <t>上海市复旦中学</t>
    </r>
  </si>
  <si>
    <r>
      <rPr>
        <sz val="10"/>
        <color rgb="FF000000"/>
        <rFont val="STSong-Light"/>
        <charset val="134"/>
      </rPr>
      <t>上海中学东校</t>
    </r>
  </si>
  <si>
    <r>
      <rPr>
        <sz val="10"/>
        <color rgb="FF000000"/>
        <rFont val="STSong-Light"/>
        <charset val="134"/>
      </rPr>
      <t>上海市大同中学</t>
    </r>
  </si>
  <si>
    <r>
      <rPr>
        <sz val="10"/>
        <color rgb="FF000000"/>
        <rFont val="STSong-Light"/>
        <charset val="134"/>
      </rPr>
      <t>上海市进才中学</t>
    </r>
  </si>
  <si>
    <r>
      <rPr>
        <sz val="10"/>
        <color rgb="FF000000"/>
        <rFont val="STSong-Light"/>
        <charset val="134"/>
      </rPr>
      <t>上海市奉贤中学</t>
    </r>
  </si>
  <si>
    <r>
      <rPr>
        <sz val="10"/>
        <color rgb="FF000000"/>
        <rFont val="STSong-Light"/>
        <charset val="134"/>
      </rPr>
      <t>上海市行知中学</t>
    </r>
  </si>
  <si>
    <r>
      <rPr>
        <sz val="10"/>
        <color rgb="FF000000"/>
        <rFont val="STSong-Light"/>
        <charset val="134"/>
      </rPr>
      <t>上海市育才中学</t>
    </r>
  </si>
  <si>
    <t>上海外国语大学附属外国语学校松江云间中学</t>
  </si>
  <si>
    <r>
      <rPr>
        <sz val="10"/>
        <color rgb="FF000000"/>
        <rFont val="STSong-Light"/>
        <charset val="134"/>
      </rPr>
      <t>上海市格致中学</t>
    </r>
  </si>
  <si>
    <r>
      <rPr>
        <sz val="10"/>
        <color rgb="FF000000"/>
        <rFont val="STSong-Light"/>
        <charset val="134"/>
      </rPr>
      <t>上海市晋元高级中学</t>
    </r>
  </si>
  <si>
    <t>上海师范大学附属中学闵行分校</t>
  </si>
  <si>
    <r>
      <rPr>
        <sz val="10"/>
        <color rgb="FF000000"/>
        <rFont val="STSong-Light"/>
        <charset val="134"/>
      </rPr>
      <t>华东师范大学第一附属中学</t>
    </r>
  </si>
  <si>
    <r>
      <rPr>
        <sz val="10"/>
        <color rgb="FF000000"/>
        <rFont val="STSong-Light"/>
        <charset val="134"/>
      </rPr>
      <t>上海市控江中学</t>
    </r>
  </si>
  <si>
    <r>
      <rPr>
        <sz val="10"/>
        <color rgb="FF000000"/>
        <rFont val="STSong-Light"/>
        <charset val="134"/>
      </rPr>
      <t>上海大学附属中学</t>
    </r>
  </si>
  <si>
    <t>上海师范大学附属中学宝山分校</t>
  </si>
  <si>
    <r>
      <rPr>
        <sz val="10"/>
        <color rgb="FF000000"/>
        <rFont val="STSong-Light"/>
        <charset val="134"/>
      </rPr>
      <t>上海市第二中学</t>
    </r>
  </si>
  <si>
    <r>
      <rPr>
        <sz val="10"/>
        <color rgb="FF000000"/>
        <rFont val="STSong-Light"/>
        <charset val="134"/>
      </rPr>
      <t>上海市复兴高级中学</t>
    </r>
  </si>
  <si>
    <r>
      <rPr>
        <sz val="10"/>
        <color rgb="FF000000"/>
        <rFont val="STSong-Light"/>
        <charset val="134"/>
      </rPr>
      <t>上海市洋泾中学</t>
    </r>
  </si>
  <si>
    <r>
      <rPr>
        <sz val="10"/>
        <color rgb="FF000000"/>
        <rFont val="STSong-Light"/>
        <charset val="134"/>
      </rPr>
      <t>上海市市北中学</t>
    </r>
  </si>
  <si>
    <r>
      <rPr>
        <sz val="10"/>
        <color rgb="FF000000"/>
        <rFont val="STSong-Light"/>
        <charset val="134"/>
      </rPr>
      <t>上海市闵行中学</t>
    </r>
  </si>
  <si>
    <r>
      <rPr>
        <sz val="10"/>
        <color rgb="FF000000"/>
        <rFont val="STSong-Light"/>
        <charset val="134"/>
      </rPr>
      <t>上海市南洋中学</t>
    </r>
  </si>
  <si>
    <r>
      <rPr>
        <sz val="10"/>
        <color rgb="FF000000"/>
        <rFont val="STSong-Light"/>
        <charset val="134"/>
      </rPr>
      <t>上海市青浦高级中学</t>
    </r>
  </si>
  <si>
    <r>
      <rPr>
        <sz val="10"/>
        <color rgb="FF000000"/>
        <rFont val="STSong-Light"/>
        <charset val="134"/>
      </rPr>
      <t>上海市杨浦高级中学</t>
    </r>
  </si>
  <si>
    <r>
      <rPr>
        <sz val="10"/>
        <color rgb="FF000000"/>
        <rFont val="STSong-Light"/>
        <charset val="134"/>
      </rPr>
      <t>同济大学第一附属中学</t>
    </r>
  </si>
  <si>
    <r>
      <rPr>
        <sz val="10"/>
        <color rgb="FF000000"/>
        <rFont val="STSong-Light"/>
        <charset val="134"/>
      </rPr>
      <t>上海市金山中学</t>
    </r>
  </si>
  <si>
    <r>
      <rPr>
        <sz val="10"/>
        <color rgb="FF000000"/>
        <rFont val="STSong-Light"/>
        <charset val="134"/>
      </rPr>
      <t>华东师范大学第三附属中学</t>
    </r>
  </si>
  <si>
    <r>
      <rPr>
        <sz val="10"/>
        <color rgb="FF000000"/>
        <rFont val="STSong-Light"/>
        <charset val="134"/>
      </rPr>
      <t>上海市第三女子中学</t>
    </r>
  </si>
  <si>
    <r>
      <rPr>
        <sz val="10"/>
        <color rgb="FF000000"/>
        <rFont val="STSong-Light"/>
        <charset val="134"/>
      </rPr>
      <t>上海市吴淞中学</t>
    </r>
  </si>
  <si>
    <r>
      <rPr>
        <sz val="10"/>
        <color rgb="FF000000"/>
        <rFont val="STSong-Light"/>
        <charset val="134"/>
      </rPr>
      <t>上海市川沙中学</t>
    </r>
  </si>
  <si>
    <r>
      <rPr>
        <sz val="10"/>
        <color rgb="FF000000"/>
        <rFont val="STSong-Light"/>
        <charset val="134"/>
      </rPr>
      <t>上海南汇中学</t>
    </r>
  </si>
  <si>
    <r>
      <rPr>
        <sz val="10"/>
        <color rgb="FF000000"/>
        <rFont val="STSong-Light"/>
        <charset val="134"/>
      </rPr>
      <t>上海市宜川中学</t>
    </r>
  </si>
  <si>
    <r>
      <rPr>
        <sz val="10"/>
        <color rgb="FF000000"/>
        <rFont val="STSong-Light"/>
        <charset val="134"/>
      </rPr>
      <t>上海市朱家角中学</t>
    </r>
  </si>
  <si>
    <r>
      <rPr>
        <sz val="10"/>
        <color rgb="FF000000"/>
        <rFont val="STSong-Light"/>
        <charset val="134"/>
      </rPr>
      <t>上海市卢湾高级中学</t>
    </r>
  </si>
  <si>
    <r>
      <rPr>
        <sz val="10"/>
        <color rgb="FF000000"/>
        <rFont val="STSong-Light"/>
        <charset val="134"/>
      </rPr>
      <t>上海市回民中学</t>
    </r>
  </si>
  <si>
    <r>
      <rPr>
        <sz val="10"/>
        <color rgb="FF000000"/>
        <rFont val="STSong-Light"/>
        <charset val="134"/>
      </rPr>
      <t>上海市新中高级中学</t>
    </r>
  </si>
  <si>
    <t>上海财经大学附属北郊高级中学</t>
  </si>
  <si>
    <r>
      <rPr>
        <sz val="10"/>
        <color rgb="FF000000"/>
        <rFont val="STSong-Light"/>
        <charset val="134"/>
      </rPr>
      <t>上海市崇明中学</t>
    </r>
  </si>
  <si>
    <r>
      <rPr>
        <sz val="10"/>
        <color rgb="FF000000"/>
        <rFont val="STSong-Light"/>
        <charset val="134"/>
      </rPr>
      <t>上海市华东模范中学</t>
    </r>
  </si>
  <si>
    <t>初中学校</t>
  </si>
  <si>
    <t>嘉定区总名额</t>
  </si>
  <si>
    <r>
      <rPr>
        <sz val="8"/>
        <color rgb="FF000000"/>
        <rFont val="STSong-Light"/>
        <charset val="134"/>
      </rPr>
      <t>交大附中附属嘉定德富中学</t>
    </r>
  </si>
  <si>
    <r>
      <rPr>
        <sz val="8"/>
        <color rgb="FF000000"/>
        <rFont val="STSong-Light"/>
        <charset val="134"/>
      </rPr>
      <t>上海市嘉定区第一中学</t>
    </r>
  </si>
  <si>
    <t>交大附中附属嘉定德富中学</t>
  </si>
  <si>
    <r>
      <rPr>
        <sz val="8"/>
        <color rgb="FF000000"/>
        <rFont val="STSong-Light"/>
        <charset val="134"/>
      </rPr>
      <t>华东师范大学第二附属中学</t>
    </r>
  </si>
  <si>
    <r>
      <rPr>
        <b/>
        <sz val="9.95"/>
        <color rgb="FF000000"/>
        <rFont val="SimSun"/>
        <charset val="134"/>
      </rPr>
      <t>招生学校名称</t>
    </r>
  </si>
  <si>
    <r>
      <rPr>
        <b/>
        <sz val="9.95"/>
        <color rgb="FF000000"/>
        <rFont val="SimSun"/>
        <charset val="134"/>
      </rPr>
      <t>投档分数线</t>
    </r>
  </si>
  <si>
    <t>招生计划数</t>
  </si>
  <si>
    <t>每学期学费</t>
  </si>
  <si>
    <r>
      <rPr>
        <sz val="9.95"/>
        <color rgb="FF000000"/>
        <rFont val="SimSun"/>
        <charset val="134"/>
      </rPr>
      <t>上海市上海中学</t>
    </r>
  </si>
  <si>
    <r>
      <rPr>
        <sz val="9.95"/>
        <color rgb="FF000000"/>
        <rFont val="SimSun"/>
        <charset val="134"/>
      </rPr>
      <t>上海交通大学附属中学</t>
    </r>
  </si>
  <si>
    <r>
      <rPr>
        <sz val="9.95"/>
        <color rgb="FF000000"/>
        <rFont val="SimSun"/>
        <charset val="134"/>
      </rPr>
      <t>华东师范大学第二附属中学</t>
    </r>
  </si>
  <si>
    <r>
      <rPr>
        <sz val="9.95"/>
        <color rgb="FF000000"/>
        <rFont val="SimSun"/>
        <charset val="134"/>
      </rPr>
      <t>复旦大学附属中学</t>
    </r>
  </si>
  <si>
    <r>
      <rPr>
        <sz val="9.95"/>
        <color rgb="FF000000"/>
        <rFont val="SimSun"/>
        <charset val="134"/>
      </rPr>
      <t>上海交通大学附属中学嘉定分校</t>
    </r>
  </si>
  <si>
    <r>
      <rPr>
        <sz val="9.95"/>
        <color rgb="FF000000"/>
        <rFont val="SimSun"/>
        <charset val="134"/>
      </rPr>
      <t>上海师范大学附属中学</t>
    </r>
  </si>
  <si>
    <r>
      <rPr>
        <sz val="9.95"/>
        <color rgb="FF000000"/>
        <rFont val="SimSun"/>
        <charset val="134"/>
      </rPr>
      <t>上海宝山区民办维尚高级中学</t>
    </r>
  </si>
  <si>
    <r>
      <rPr>
        <sz val="9.95"/>
        <color rgb="FF000000"/>
        <rFont val="SimSun"/>
        <charset val="134"/>
      </rPr>
      <t>上海市嘉定区第一中学</t>
    </r>
  </si>
  <si>
    <r>
      <rPr>
        <sz val="9.95"/>
        <color rgb="FF000000"/>
        <rFont val="SimSun"/>
        <charset val="134"/>
      </rPr>
      <t>上海宝山区世外学校</t>
    </r>
  </si>
  <si>
    <r>
      <rPr>
        <sz val="9.95"/>
        <color rgb="FF000000"/>
        <rFont val="SimSun"/>
        <charset val="134"/>
      </rPr>
      <t>上海市嘉定区嘉一实验高级中学</t>
    </r>
  </si>
  <si>
    <r>
      <rPr>
        <sz val="9.95"/>
        <color rgb="FF000000"/>
        <rFont val="SimSun"/>
        <charset val="134"/>
      </rPr>
      <t>上海市五爱高级中学</t>
    </r>
  </si>
  <si>
    <t>上海存志高级中学</t>
  </si>
  <si>
    <r>
      <rPr>
        <sz val="9.95"/>
        <color rgb="FF000000"/>
        <rFont val="SimSun"/>
        <charset val="134"/>
      </rPr>
      <t>上海市嘉定区第二中学</t>
    </r>
  </si>
  <si>
    <r>
      <rPr>
        <sz val="9.95"/>
        <color rgb="FF000000"/>
        <rFont val="SimSun"/>
        <charset val="134"/>
      </rPr>
      <t>上海市久隆模范中学</t>
    </r>
  </si>
  <si>
    <r>
      <rPr>
        <sz val="9.95"/>
        <color rgb="FF000000"/>
        <rFont val="SimSun"/>
        <charset val="134"/>
      </rPr>
      <t>上海田家炳中学</t>
    </r>
  </si>
  <si>
    <r>
      <rPr>
        <sz val="9.95"/>
        <color rgb="FF000000"/>
        <rFont val="SimSun"/>
        <charset val="134"/>
      </rPr>
      <t>上海师范大学附属嘉定高级中学</t>
    </r>
  </si>
  <si>
    <r>
      <rPr>
        <sz val="9.95"/>
        <color rgb="FF000000"/>
        <rFont val="SimSun"/>
        <charset val="134"/>
      </rPr>
      <t>上海市宝山华曜高级中学</t>
    </r>
  </si>
  <si>
    <r>
      <rPr>
        <sz val="9.95"/>
        <color rgb="FF000000"/>
        <rFont val="SimSun"/>
        <charset val="134"/>
      </rPr>
      <t>上海市同济黄浦设计创意中学</t>
    </r>
  </si>
  <si>
    <r>
      <rPr>
        <sz val="9.95"/>
        <color rgb="FF000000"/>
        <rFont val="SimSun"/>
        <charset val="134"/>
      </rPr>
      <t>上海市嘉定区安亭高级中学</t>
    </r>
  </si>
  <si>
    <r>
      <rPr>
        <sz val="9.95"/>
        <color rgb="FF000000"/>
        <rFont val="SimSun"/>
        <charset val="134"/>
      </rPr>
      <t>上海市民办尚德实验学校</t>
    </r>
  </si>
  <si>
    <r>
      <rPr>
        <sz val="9.95"/>
        <color rgb="FF000000"/>
        <rFont val="SimSun"/>
        <charset val="134"/>
      </rPr>
      <t>上海大学附属嘉定高级中学</t>
    </r>
  </si>
  <si>
    <r>
      <rPr>
        <sz val="9.95"/>
        <color rgb="FF000000"/>
        <rFont val="SimSun"/>
        <charset val="134"/>
      </rPr>
      <t>上海金山区世外学校</t>
    </r>
  </si>
  <si>
    <r>
      <rPr>
        <sz val="9.95"/>
        <color rgb="FF000000"/>
        <rFont val="SimSun"/>
        <charset val="134"/>
      </rPr>
      <t>上海市嘉定区中光高级中学</t>
    </r>
  </si>
  <si>
    <r>
      <rPr>
        <sz val="9.95"/>
        <color rgb="FF000000"/>
        <rFont val="SimSun"/>
        <charset val="134"/>
      </rPr>
      <t>上海戏剧学院附属高级中学（艺术班）</t>
    </r>
  </si>
  <si>
    <r>
      <rPr>
        <sz val="9.95"/>
        <color rgb="FF000000"/>
        <rFont val="SimSun"/>
        <charset val="134"/>
      </rPr>
      <t>上海市民办新和中学</t>
    </r>
  </si>
  <si>
    <r>
      <rPr>
        <sz val="9.95"/>
        <color rgb="FF000000"/>
        <rFont val="SimSun"/>
        <charset val="134"/>
      </rPr>
      <t>上海市民办交大南洋中学</t>
    </r>
  </si>
  <si>
    <r>
      <rPr>
        <sz val="9.95"/>
        <color rgb="FF000000"/>
        <rFont val="SimSun"/>
        <charset val="134"/>
      </rPr>
      <t>上海市嘉定区封浜高级中学</t>
    </r>
  </si>
  <si>
    <r>
      <rPr>
        <sz val="9.95"/>
        <color rgb="FF000000"/>
        <rFont val="SimSun"/>
        <charset val="134"/>
      </rPr>
      <t>上海市民办丰华高级中学</t>
    </r>
  </si>
  <si>
    <r>
      <rPr>
        <sz val="9.95"/>
        <color rgb="FF000000"/>
        <rFont val="SimSun"/>
        <charset val="134"/>
      </rPr>
      <t>上海安生学校</t>
    </r>
  </si>
  <si>
    <r>
      <rPr>
        <sz val="9.95"/>
        <color rgb="FF000000"/>
        <rFont val="SimSun"/>
        <charset val="134"/>
      </rPr>
      <t>上海奉贤区博华双语学校</t>
    </r>
  </si>
  <si>
    <r>
      <rPr>
        <sz val="9.95"/>
        <color rgb="FF000000"/>
        <rFont val="SimSun"/>
        <charset val="134"/>
      </rPr>
      <t>上海市同洲模范学校</t>
    </r>
  </si>
  <si>
    <r>
      <rPr>
        <sz val="9.95"/>
        <color rgb="FF000000"/>
        <rFont val="SimSun"/>
        <charset val="134"/>
      </rPr>
      <t>上海浦东新区民办东鼎外国语学校</t>
    </r>
  </si>
  <si>
    <r>
      <rPr>
        <sz val="9.95"/>
        <color rgb="FF000000"/>
        <rFont val="SimSun"/>
        <charset val="134"/>
      </rPr>
      <t>上海市民办永昌中学</t>
    </r>
  </si>
  <si>
    <r>
      <rPr>
        <sz val="9.95"/>
        <color rgb="FF000000"/>
        <rFont val="SimSun"/>
        <charset val="134"/>
      </rPr>
      <t>上海市西外外国语学校</t>
    </r>
  </si>
  <si>
    <r>
      <rPr>
        <sz val="9.95"/>
        <color rgb="FF000000"/>
        <rFont val="SimSun"/>
        <charset val="134"/>
      </rPr>
      <t>上海市民办远东学校</t>
    </r>
  </si>
  <si>
    <r>
      <rPr>
        <sz val="9.95"/>
        <color rgb="FF000000"/>
        <rFont val="SimSun"/>
        <charset val="134"/>
      </rPr>
      <t>上海民办民一中学</t>
    </r>
  </si>
  <si>
    <r>
      <rPr>
        <sz val="9.95"/>
        <color rgb="FF000000"/>
        <rFont val="SimSun"/>
        <charset val="134"/>
      </rPr>
      <t>上海市浦东新区民办浦实高级中学</t>
    </r>
  </si>
  <si>
    <r>
      <rPr>
        <sz val="9.95"/>
        <color rgb="FF000000"/>
        <rFont val="SimSun"/>
        <charset val="134"/>
      </rPr>
      <t>上海创艺高级中学</t>
    </r>
  </si>
  <si>
    <r>
      <rPr>
        <sz val="9.95"/>
        <color rgb="FF000000"/>
        <rFont val="SimSun"/>
        <charset val="134"/>
      </rPr>
      <t>上海嘉定区民办华盛怀少学校</t>
    </r>
  </si>
  <si>
    <r>
      <rPr>
        <sz val="9.95"/>
        <color rgb="FF000000"/>
        <rFont val="SimSun"/>
        <charset val="134"/>
      </rPr>
      <t>上海华旭双语学校</t>
    </r>
  </si>
  <si>
    <r>
      <rPr>
        <sz val="12"/>
        <color rgb="FF333333"/>
        <rFont val="宋体"/>
        <charset val="134"/>
        <scheme val="minor"/>
      </rPr>
      <t>上海赫贤学校</t>
    </r>
  </si>
  <si>
    <t>上海宋庆龄学校</t>
  </si>
  <si>
    <r>
      <rPr>
        <sz val="12"/>
        <color rgb="FF333333"/>
        <rFont val="宋体"/>
        <charset val="134"/>
        <scheme val="minor"/>
      </rPr>
      <t>上海青浦区协和双语学校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</si>
</sst>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9.95"/>
      <color rgb="FF000000"/>
      <name val="SimSun"/>
      <charset val="134"/>
    </font>
    <font>
      <sz val="9.95"/>
      <color rgb="FF000000"/>
      <name val="SimSun"/>
      <charset val="134"/>
    </font>
    <font>
      <sz val="11"/>
      <color rgb="FF000000"/>
      <name val="SimSun"/>
      <charset val="134"/>
    </font>
    <font>
      <sz val="12"/>
      <color rgb="FF333333"/>
      <name val="宋体"/>
      <charset val="134"/>
      <scheme val="minor"/>
    </font>
    <font>
      <sz val="8"/>
      <color rgb="FF000000"/>
      <name val="SimSun"/>
      <charset val="134"/>
    </font>
    <font>
      <sz val="10"/>
      <color rgb="FF000000"/>
      <name val="STSong-Light"/>
      <charset val="134"/>
    </font>
    <font>
      <sz val="8"/>
      <color rgb="FF000000"/>
      <name val="STSong-Light"/>
      <charset val="134"/>
    </font>
    <font>
      <sz val="9.9"/>
      <color rgb="FF000000"/>
      <name val="STSong-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 applyFill="1">
      <alignment vertical="center"/>
    </xf>
    <xf numFmtId="0" fontId="2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7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3" borderId="0" xfId="0" applyFont="1" applyFill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304800</xdr:colOff>
      <xdr:row>76</xdr:row>
      <xdr:rowOff>104140</xdr:rowOff>
    </xdr:to>
    <xdr:pic>
      <xdr:nvPicPr>
        <xdr:cNvPr id="2" name="图片 1" descr="上海教育官网公布数据推算的各区考生人数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0"/>
          <a:ext cx="13716000" cy="16319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9"/>
  <sheetViews>
    <sheetView tabSelected="1" workbookViewId="0">
      <selection activeCell="I16" sqref="I16"/>
    </sheetView>
  </sheetViews>
  <sheetFormatPr defaultColWidth="9.23076923076923" defaultRowHeight="16.8"/>
  <cols>
    <col min="1" max="1" width="40.5480769230769" customWidth="1"/>
    <col min="12" max="12" width="11.8557692307692" customWidth="1"/>
    <col min="13" max="13" width="16.5" customWidth="1"/>
    <col min="14" max="14" width="10.5769230769231" customWidth="1"/>
  </cols>
  <sheetData>
    <row r="1" spans="1:7">
      <c r="A1" s="9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s="9" t="s">
        <v>7</v>
      </c>
      <c r="B2" s="9">
        <v>710.5</v>
      </c>
      <c r="C2" s="9">
        <v>423.5</v>
      </c>
      <c r="D2" s="12">
        <v>140</v>
      </c>
      <c r="E2" s="12">
        <v>136</v>
      </c>
      <c r="F2" s="12">
        <v>139</v>
      </c>
      <c r="G2">
        <v>8</v>
      </c>
      <c r="I2" t="s">
        <v>8</v>
      </c>
      <c r="J2" t="s">
        <v>9</v>
      </c>
      <c r="L2" t="s">
        <v>10</v>
      </c>
      <c r="M2" t="s">
        <v>11</v>
      </c>
    </row>
    <row r="3" spans="1:13">
      <c r="A3" s="9" t="s">
        <v>12</v>
      </c>
      <c r="B3" s="12">
        <v>710</v>
      </c>
      <c r="C3" s="12">
        <v>424</v>
      </c>
      <c r="D3" s="12">
        <v>138</v>
      </c>
      <c r="E3" s="12">
        <v>137</v>
      </c>
      <c r="F3" s="12">
        <v>138</v>
      </c>
      <c r="G3">
        <v>10</v>
      </c>
      <c r="I3">
        <f>SUM(G2:G59)</f>
        <v>287</v>
      </c>
      <c r="J3">
        <v>6675</v>
      </c>
      <c r="L3">
        <v>110000</v>
      </c>
      <c r="M3" s="16">
        <v>0.2373</v>
      </c>
    </row>
    <row r="4" spans="1:7">
      <c r="A4" s="9" t="s">
        <v>13</v>
      </c>
      <c r="B4" s="12">
        <v>708</v>
      </c>
      <c r="C4" s="12">
        <v>422</v>
      </c>
      <c r="D4" s="12">
        <v>140</v>
      </c>
      <c r="E4" s="12">
        <v>136</v>
      </c>
      <c r="F4" s="12">
        <v>139</v>
      </c>
      <c r="G4">
        <v>10</v>
      </c>
    </row>
    <row r="5" spans="1:7">
      <c r="A5" s="9" t="s">
        <v>14</v>
      </c>
      <c r="B5" s="12">
        <v>708</v>
      </c>
      <c r="C5" s="12">
        <v>428</v>
      </c>
      <c r="D5" s="12">
        <v>142</v>
      </c>
      <c r="E5" s="12">
        <v>140</v>
      </c>
      <c r="F5" s="12">
        <v>134</v>
      </c>
      <c r="G5">
        <v>2</v>
      </c>
    </row>
    <row r="6" spans="1:7">
      <c r="A6" s="9" t="s">
        <v>15</v>
      </c>
      <c r="B6" s="9">
        <v>707.5</v>
      </c>
      <c r="C6" s="9">
        <v>418.5</v>
      </c>
      <c r="D6" s="12">
        <v>137</v>
      </c>
      <c r="E6" s="12">
        <v>135</v>
      </c>
      <c r="F6" s="12">
        <v>141</v>
      </c>
      <c r="G6">
        <v>8</v>
      </c>
    </row>
    <row r="7" spans="1:7">
      <c r="A7" s="9" t="s">
        <v>16</v>
      </c>
      <c r="B7" s="9">
        <v>706.5</v>
      </c>
      <c r="C7" s="9">
        <v>417.5</v>
      </c>
      <c r="D7" s="12">
        <v>133</v>
      </c>
      <c r="E7" s="12">
        <v>138</v>
      </c>
      <c r="F7" s="12">
        <v>141</v>
      </c>
      <c r="G7">
        <v>10</v>
      </c>
    </row>
    <row r="8" spans="1:7">
      <c r="A8" s="14" t="s">
        <v>17</v>
      </c>
      <c r="B8" s="12">
        <v>705</v>
      </c>
      <c r="C8" s="12">
        <v>418</v>
      </c>
      <c r="D8" s="12">
        <v>138</v>
      </c>
      <c r="E8" s="12">
        <v>132</v>
      </c>
      <c r="F8" s="12">
        <v>140</v>
      </c>
      <c r="G8">
        <v>8</v>
      </c>
    </row>
    <row r="9" spans="1:7">
      <c r="A9" s="9" t="s">
        <v>18</v>
      </c>
      <c r="B9" s="9">
        <v>704.5</v>
      </c>
      <c r="C9" s="9">
        <v>413.5</v>
      </c>
      <c r="D9" s="12">
        <v>137</v>
      </c>
      <c r="E9" s="12">
        <v>132</v>
      </c>
      <c r="F9" s="12">
        <v>141</v>
      </c>
      <c r="G9">
        <v>3</v>
      </c>
    </row>
    <row r="10" spans="1:7">
      <c r="A10" s="9" t="s">
        <v>19</v>
      </c>
      <c r="B10" s="9">
        <v>703.5</v>
      </c>
      <c r="C10" s="9">
        <v>418.5</v>
      </c>
      <c r="D10" s="12">
        <v>143</v>
      </c>
      <c r="E10" s="12">
        <v>130</v>
      </c>
      <c r="F10" s="12">
        <v>141</v>
      </c>
      <c r="G10">
        <v>4</v>
      </c>
    </row>
    <row r="11" spans="1:7">
      <c r="A11" s="9" t="s">
        <v>20</v>
      </c>
      <c r="B11" s="9">
        <v>702.5</v>
      </c>
      <c r="C11" s="9">
        <v>413.5</v>
      </c>
      <c r="D11" s="12">
        <v>131</v>
      </c>
      <c r="E11" s="12">
        <v>137</v>
      </c>
      <c r="F11" s="12">
        <v>136</v>
      </c>
      <c r="G11">
        <v>3</v>
      </c>
    </row>
    <row r="12" spans="1:7">
      <c r="A12" s="9" t="s">
        <v>21</v>
      </c>
      <c r="B12" s="12">
        <v>702</v>
      </c>
      <c r="C12" s="12">
        <v>413</v>
      </c>
      <c r="D12" s="12">
        <v>140</v>
      </c>
      <c r="E12" s="12">
        <v>131</v>
      </c>
      <c r="F12" s="12">
        <v>142</v>
      </c>
      <c r="G12">
        <v>2</v>
      </c>
    </row>
    <row r="13" spans="1:7">
      <c r="A13" s="9" t="s">
        <v>22</v>
      </c>
      <c r="B13" s="12">
        <v>699</v>
      </c>
      <c r="C13" s="12">
        <v>409</v>
      </c>
      <c r="D13" s="12">
        <v>142</v>
      </c>
      <c r="E13" s="12">
        <v>126</v>
      </c>
      <c r="F13" s="12">
        <v>144</v>
      </c>
      <c r="G13">
        <v>4</v>
      </c>
    </row>
    <row r="14" spans="1:7">
      <c r="A14" s="9" t="s">
        <v>23</v>
      </c>
      <c r="B14" s="12">
        <v>697</v>
      </c>
      <c r="C14" s="12">
        <v>415</v>
      </c>
      <c r="D14" s="12">
        <v>136</v>
      </c>
      <c r="E14" s="12">
        <v>133</v>
      </c>
      <c r="F14" s="12">
        <v>133</v>
      </c>
      <c r="G14">
        <v>4</v>
      </c>
    </row>
    <row r="15" spans="1:7">
      <c r="A15" s="9" t="s">
        <v>24</v>
      </c>
      <c r="B15" s="9">
        <v>695.5</v>
      </c>
      <c r="C15" s="9">
        <v>409.5</v>
      </c>
      <c r="D15" s="12">
        <v>132</v>
      </c>
      <c r="E15" s="12">
        <v>132</v>
      </c>
      <c r="F15" s="12">
        <v>139</v>
      </c>
      <c r="G15">
        <v>3</v>
      </c>
    </row>
    <row r="16" spans="1:7">
      <c r="A16" s="9" t="s">
        <v>25</v>
      </c>
      <c r="B16" s="12">
        <v>694</v>
      </c>
      <c r="C16" s="12">
        <v>421</v>
      </c>
      <c r="D16" s="12">
        <v>137</v>
      </c>
      <c r="E16" s="12">
        <v>141</v>
      </c>
      <c r="F16" s="12">
        <v>129</v>
      </c>
      <c r="G16">
        <v>2</v>
      </c>
    </row>
    <row r="17" spans="1:7">
      <c r="A17" s="9" t="s">
        <v>26</v>
      </c>
      <c r="B17" s="12">
        <v>694</v>
      </c>
      <c r="C17" s="12">
        <v>409</v>
      </c>
      <c r="D17" s="12">
        <v>138</v>
      </c>
      <c r="E17" s="12">
        <v>130</v>
      </c>
      <c r="F17" s="12">
        <v>139</v>
      </c>
      <c r="G17">
        <v>11</v>
      </c>
    </row>
    <row r="18" spans="1:7">
      <c r="A18" s="9" t="s">
        <v>27</v>
      </c>
      <c r="B18" s="9">
        <v>691.5</v>
      </c>
      <c r="C18" s="9">
        <v>410.5</v>
      </c>
      <c r="D18" s="12">
        <v>138</v>
      </c>
      <c r="E18" s="12">
        <v>128</v>
      </c>
      <c r="F18" s="12">
        <v>139</v>
      </c>
      <c r="G18">
        <v>2</v>
      </c>
    </row>
    <row r="19" spans="1:7">
      <c r="A19" s="15" t="s">
        <v>28</v>
      </c>
      <c r="B19" s="9">
        <v>690.5</v>
      </c>
      <c r="C19" s="9">
        <v>406.5</v>
      </c>
      <c r="D19" s="12">
        <v>136</v>
      </c>
      <c r="E19" s="12">
        <v>130</v>
      </c>
      <c r="F19" s="12">
        <v>140</v>
      </c>
      <c r="G19">
        <v>7</v>
      </c>
    </row>
    <row r="20" spans="1:7">
      <c r="A20" s="9" t="s">
        <v>29</v>
      </c>
      <c r="B20" s="12">
        <v>690</v>
      </c>
      <c r="C20" s="12">
        <v>408</v>
      </c>
      <c r="D20" s="12">
        <v>127</v>
      </c>
      <c r="E20" s="12">
        <v>135</v>
      </c>
      <c r="F20" s="12">
        <v>136</v>
      </c>
      <c r="G20">
        <v>3</v>
      </c>
    </row>
    <row r="21" spans="1:7">
      <c r="A21" s="9" t="s">
        <v>30</v>
      </c>
      <c r="B21" s="12">
        <v>687</v>
      </c>
      <c r="C21" s="12">
        <v>410</v>
      </c>
      <c r="D21" s="12">
        <v>138</v>
      </c>
      <c r="E21" s="12">
        <v>127</v>
      </c>
      <c r="F21" s="12">
        <v>131</v>
      </c>
      <c r="G21">
        <v>3</v>
      </c>
    </row>
    <row r="22" spans="1:7">
      <c r="A22" s="9" t="s">
        <v>31</v>
      </c>
      <c r="B22" s="12">
        <v>686</v>
      </c>
      <c r="C22" s="12">
        <v>402</v>
      </c>
      <c r="D22" s="12">
        <v>133</v>
      </c>
      <c r="E22" s="12">
        <v>132</v>
      </c>
      <c r="F22" s="12">
        <v>142</v>
      </c>
      <c r="G22">
        <v>3</v>
      </c>
    </row>
    <row r="23" spans="1:7">
      <c r="A23" s="9" t="s">
        <v>32</v>
      </c>
      <c r="B23" s="12">
        <v>686</v>
      </c>
      <c r="C23" s="12">
        <v>401</v>
      </c>
      <c r="D23" s="12">
        <v>133</v>
      </c>
      <c r="E23" s="12">
        <v>127</v>
      </c>
      <c r="F23" s="12">
        <v>139</v>
      </c>
      <c r="G23">
        <v>2</v>
      </c>
    </row>
    <row r="24" spans="1:7">
      <c r="A24" s="9" t="s">
        <v>33</v>
      </c>
      <c r="B24" s="9">
        <v>685.5</v>
      </c>
      <c r="C24" s="9">
        <v>404.5</v>
      </c>
      <c r="D24" s="12">
        <v>135</v>
      </c>
      <c r="E24" s="12">
        <v>129</v>
      </c>
      <c r="F24" s="12">
        <v>138</v>
      </c>
      <c r="G24">
        <v>5</v>
      </c>
    </row>
    <row r="25" spans="1:7">
      <c r="A25" s="9" t="s">
        <v>34</v>
      </c>
      <c r="B25" s="12">
        <v>685</v>
      </c>
      <c r="C25" s="12">
        <v>399</v>
      </c>
      <c r="D25" s="12">
        <v>128</v>
      </c>
      <c r="E25" s="12">
        <v>131</v>
      </c>
      <c r="F25" s="12">
        <v>139</v>
      </c>
      <c r="G25">
        <v>6</v>
      </c>
    </row>
    <row r="26" spans="1:7">
      <c r="A26" s="9" t="s">
        <v>35</v>
      </c>
      <c r="B26" s="9">
        <v>683.5</v>
      </c>
      <c r="C26" s="9">
        <v>401.5</v>
      </c>
      <c r="D26" s="12">
        <v>132</v>
      </c>
      <c r="E26" s="12">
        <v>131</v>
      </c>
      <c r="F26" s="12">
        <v>139</v>
      </c>
      <c r="G26">
        <v>1</v>
      </c>
    </row>
    <row r="27" spans="1:7">
      <c r="A27" s="9" t="s">
        <v>36</v>
      </c>
      <c r="B27" s="12">
        <v>683</v>
      </c>
      <c r="C27" s="12">
        <v>404</v>
      </c>
      <c r="D27" s="12">
        <v>133</v>
      </c>
      <c r="E27" s="12">
        <v>130</v>
      </c>
      <c r="F27" s="12">
        <v>136</v>
      </c>
      <c r="G27">
        <v>8</v>
      </c>
    </row>
    <row r="28" spans="1:7">
      <c r="A28" s="9" t="s">
        <v>37</v>
      </c>
      <c r="B28" s="9">
        <v>682.5</v>
      </c>
      <c r="C28" s="9">
        <v>403.5</v>
      </c>
      <c r="D28" s="12">
        <v>129</v>
      </c>
      <c r="E28" s="12">
        <v>133</v>
      </c>
      <c r="F28" s="12">
        <v>133</v>
      </c>
      <c r="G28">
        <v>3</v>
      </c>
    </row>
    <row r="29" spans="1:7">
      <c r="A29" s="9" t="s">
        <v>38</v>
      </c>
      <c r="B29" s="9">
        <v>682.5</v>
      </c>
      <c r="C29" s="9">
        <v>404.5</v>
      </c>
      <c r="D29" s="12">
        <v>128</v>
      </c>
      <c r="E29" s="12">
        <v>131</v>
      </c>
      <c r="F29" s="12">
        <v>130</v>
      </c>
      <c r="G29">
        <v>3</v>
      </c>
    </row>
    <row r="30" spans="1:7">
      <c r="A30" s="9" t="s">
        <v>39</v>
      </c>
      <c r="B30">
        <v>681</v>
      </c>
      <c r="C30">
        <v>394</v>
      </c>
      <c r="D30">
        <v>127</v>
      </c>
      <c r="E30">
        <v>125</v>
      </c>
      <c r="F30">
        <v>134</v>
      </c>
      <c r="G30">
        <v>8</v>
      </c>
    </row>
    <row r="31" spans="1:7">
      <c r="A31" s="9" t="s">
        <v>40</v>
      </c>
      <c r="B31" s="12">
        <v>681</v>
      </c>
      <c r="C31" s="12">
        <v>399</v>
      </c>
      <c r="D31" s="12">
        <v>128</v>
      </c>
      <c r="E31" s="12">
        <v>127</v>
      </c>
      <c r="F31" s="12">
        <v>136</v>
      </c>
      <c r="G31">
        <v>8</v>
      </c>
    </row>
    <row r="32" spans="1:7">
      <c r="A32" s="9" t="s">
        <v>41</v>
      </c>
      <c r="B32" s="12">
        <v>681</v>
      </c>
      <c r="C32" s="12">
        <v>404</v>
      </c>
      <c r="D32" s="12">
        <v>139</v>
      </c>
      <c r="E32" s="12">
        <v>127</v>
      </c>
      <c r="F32" s="12">
        <v>133</v>
      </c>
      <c r="G32">
        <v>1</v>
      </c>
    </row>
    <row r="33" spans="1:7">
      <c r="A33" s="9" t="s">
        <v>42</v>
      </c>
      <c r="B33" s="12">
        <v>680</v>
      </c>
      <c r="C33" s="12">
        <v>401</v>
      </c>
      <c r="D33" s="12">
        <v>131</v>
      </c>
      <c r="E33" s="12">
        <v>132</v>
      </c>
      <c r="F33" s="12">
        <v>134</v>
      </c>
      <c r="G33">
        <v>4</v>
      </c>
    </row>
    <row r="34" spans="1:7">
      <c r="A34" s="9" t="s">
        <v>43</v>
      </c>
      <c r="B34" s="9">
        <v>679.5</v>
      </c>
      <c r="C34" s="9">
        <v>400.5</v>
      </c>
      <c r="D34" s="12">
        <v>128</v>
      </c>
      <c r="E34" s="12">
        <v>136</v>
      </c>
      <c r="F34" s="12">
        <v>131</v>
      </c>
      <c r="G34">
        <v>6</v>
      </c>
    </row>
    <row r="35" spans="1:7">
      <c r="A35" s="9" t="s">
        <v>44</v>
      </c>
      <c r="B35" s="9">
        <v>678.5</v>
      </c>
      <c r="C35" s="9">
        <v>404.5</v>
      </c>
      <c r="D35" s="12">
        <v>132</v>
      </c>
      <c r="E35" s="12">
        <v>128</v>
      </c>
      <c r="F35" s="12">
        <v>131</v>
      </c>
      <c r="G35">
        <v>8</v>
      </c>
    </row>
    <row r="36" spans="1:7">
      <c r="A36" s="9" t="s">
        <v>45</v>
      </c>
      <c r="B36" s="9">
        <v>678.5</v>
      </c>
      <c r="C36" s="9">
        <v>405.5</v>
      </c>
      <c r="D36" s="12">
        <v>123</v>
      </c>
      <c r="E36" s="12">
        <v>138</v>
      </c>
      <c r="F36" s="12">
        <v>127</v>
      </c>
      <c r="G36">
        <v>1</v>
      </c>
    </row>
    <row r="37" spans="1:7">
      <c r="A37" s="9" t="s">
        <v>46</v>
      </c>
      <c r="B37" s="12">
        <v>678</v>
      </c>
      <c r="C37" s="12">
        <v>397</v>
      </c>
      <c r="D37" s="12">
        <v>129</v>
      </c>
      <c r="E37" s="12">
        <v>128</v>
      </c>
      <c r="F37" s="12">
        <v>138</v>
      </c>
      <c r="G37">
        <v>2</v>
      </c>
    </row>
    <row r="38" spans="1:7">
      <c r="A38" s="9" t="s">
        <v>47</v>
      </c>
      <c r="B38" s="12">
        <v>678</v>
      </c>
      <c r="C38" s="12">
        <v>403</v>
      </c>
      <c r="D38" s="12">
        <v>131</v>
      </c>
      <c r="E38" s="12">
        <v>130</v>
      </c>
      <c r="F38" s="12">
        <v>131</v>
      </c>
      <c r="G38">
        <v>5</v>
      </c>
    </row>
    <row r="39" spans="1:7">
      <c r="A39" s="9" t="s">
        <v>48</v>
      </c>
      <c r="B39" s="12">
        <v>678</v>
      </c>
      <c r="C39" s="12">
        <v>400</v>
      </c>
      <c r="D39" s="12">
        <v>125</v>
      </c>
      <c r="E39" s="12">
        <v>134</v>
      </c>
      <c r="F39" s="12">
        <v>131</v>
      </c>
      <c r="G39">
        <v>6</v>
      </c>
    </row>
    <row r="40" spans="1:7">
      <c r="A40" s="9" t="s">
        <v>49</v>
      </c>
      <c r="B40" s="12">
        <v>676</v>
      </c>
      <c r="C40" s="12">
        <v>392</v>
      </c>
      <c r="D40" s="12">
        <v>140</v>
      </c>
      <c r="E40" s="12">
        <v>123</v>
      </c>
      <c r="F40" s="12">
        <v>137</v>
      </c>
      <c r="G40">
        <v>1</v>
      </c>
    </row>
    <row r="41" spans="1:7">
      <c r="A41" s="9" t="s">
        <v>50</v>
      </c>
      <c r="B41" s="9">
        <v>675.5</v>
      </c>
      <c r="C41" s="9">
        <v>402.5</v>
      </c>
      <c r="D41" s="12">
        <v>130</v>
      </c>
      <c r="E41" s="12">
        <v>134</v>
      </c>
      <c r="F41" s="12">
        <v>132</v>
      </c>
      <c r="G41">
        <v>9</v>
      </c>
    </row>
    <row r="42" spans="1:7">
      <c r="A42" s="9" t="s">
        <v>51</v>
      </c>
      <c r="B42" s="9">
        <v>672.5</v>
      </c>
      <c r="C42" s="9">
        <v>383.5</v>
      </c>
      <c r="D42" s="12">
        <v>120</v>
      </c>
      <c r="E42" s="12">
        <v>131</v>
      </c>
      <c r="F42" s="12">
        <v>143</v>
      </c>
      <c r="G42">
        <v>2</v>
      </c>
    </row>
    <row r="43" spans="1:7">
      <c r="A43" s="9" t="s">
        <v>52</v>
      </c>
      <c r="B43" s="9">
        <v>672.5</v>
      </c>
      <c r="C43" s="9">
        <v>395.5</v>
      </c>
      <c r="D43" s="12">
        <v>121</v>
      </c>
      <c r="E43" s="12">
        <v>135</v>
      </c>
      <c r="F43" s="12">
        <v>131</v>
      </c>
      <c r="G43">
        <v>5</v>
      </c>
    </row>
    <row r="44" spans="1:7">
      <c r="A44" s="9" t="s">
        <v>53</v>
      </c>
      <c r="B44" s="9">
        <v>671.5</v>
      </c>
      <c r="C44" s="9">
        <v>390.5</v>
      </c>
      <c r="D44" s="12">
        <v>123</v>
      </c>
      <c r="E44" s="12">
        <v>127</v>
      </c>
      <c r="F44" s="12">
        <v>136</v>
      </c>
      <c r="G44">
        <v>2</v>
      </c>
    </row>
    <row r="45" spans="1:7">
      <c r="A45" s="9" t="s">
        <v>54</v>
      </c>
      <c r="B45" s="9">
        <v>669.5</v>
      </c>
      <c r="C45" s="9">
        <v>391.5</v>
      </c>
      <c r="D45" s="12">
        <v>132</v>
      </c>
      <c r="E45" s="12">
        <v>121</v>
      </c>
      <c r="F45" s="12">
        <v>136</v>
      </c>
      <c r="G45">
        <v>10</v>
      </c>
    </row>
    <row r="46" spans="1:7">
      <c r="A46" s="9" t="s">
        <v>55</v>
      </c>
      <c r="B46" s="12">
        <v>669</v>
      </c>
      <c r="C46" s="12">
        <v>390</v>
      </c>
      <c r="D46" s="12">
        <v>124</v>
      </c>
      <c r="E46" s="12">
        <v>126</v>
      </c>
      <c r="F46" s="12">
        <v>131</v>
      </c>
      <c r="G46">
        <v>4</v>
      </c>
    </row>
    <row r="47" spans="1:7">
      <c r="A47" s="9" t="s">
        <v>56</v>
      </c>
      <c r="B47" s="12">
        <v>668</v>
      </c>
      <c r="C47" s="12">
        <v>400</v>
      </c>
      <c r="D47" s="12">
        <v>129</v>
      </c>
      <c r="E47" s="12">
        <v>128</v>
      </c>
      <c r="F47" s="12">
        <v>124</v>
      </c>
      <c r="G47">
        <v>2</v>
      </c>
    </row>
    <row r="48" spans="1:7">
      <c r="A48" s="9" t="s">
        <v>57</v>
      </c>
      <c r="B48" s="9">
        <v>665.5</v>
      </c>
      <c r="C48" s="9">
        <v>393.5</v>
      </c>
      <c r="D48" s="12">
        <v>118</v>
      </c>
      <c r="E48" s="12">
        <v>133</v>
      </c>
      <c r="F48" s="12">
        <v>127</v>
      </c>
      <c r="G48">
        <v>4</v>
      </c>
    </row>
    <row r="49" spans="1:7">
      <c r="A49" s="9" t="s">
        <v>58</v>
      </c>
      <c r="B49" s="12">
        <v>664</v>
      </c>
      <c r="C49" s="12">
        <v>392</v>
      </c>
      <c r="D49" s="12">
        <v>129</v>
      </c>
      <c r="E49" s="12">
        <v>126</v>
      </c>
      <c r="F49" s="12">
        <v>130</v>
      </c>
      <c r="G49">
        <v>12</v>
      </c>
    </row>
    <row r="50" spans="1:7">
      <c r="A50" s="9" t="s">
        <v>59</v>
      </c>
      <c r="B50" s="12">
        <v>663</v>
      </c>
      <c r="C50" s="12">
        <v>401</v>
      </c>
      <c r="D50" s="12">
        <v>129</v>
      </c>
      <c r="E50" s="12">
        <v>133</v>
      </c>
      <c r="F50" s="12">
        <v>117</v>
      </c>
      <c r="G50">
        <v>5</v>
      </c>
    </row>
    <row r="51" spans="1:7">
      <c r="A51" s="9" t="s">
        <v>60</v>
      </c>
      <c r="B51" s="12">
        <v>660</v>
      </c>
      <c r="C51" s="12">
        <v>384</v>
      </c>
      <c r="D51" s="12">
        <v>117</v>
      </c>
      <c r="E51" s="12">
        <v>134</v>
      </c>
      <c r="F51" s="12">
        <v>130</v>
      </c>
      <c r="G51">
        <v>12</v>
      </c>
    </row>
    <row r="52" spans="1:7">
      <c r="A52" s="9" t="s">
        <v>61</v>
      </c>
      <c r="B52" s="9">
        <v>659.5</v>
      </c>
      <c r="C52" s="9">
        <v>390.5</v>
      </c>
      <c r="D52" s="12">
        <v>124</v>
      </c>
      <c r="E52" s="12">
        <v>126</v>
      </c>
      <c r="F52" s="12">
        <v>123</v>
      </c>
      <c r="G52">
        <v>5</v>
      </c>
    </row>
    <row r="53" spans="1:7">
      <c r="A53" s="9" t="s">
        <v>62</v>
      </c>
      <c r="B53" s="9">
        <v>659.5</v>
      </c>
      <c r="C53" s="9">
        <v>396.5</v>
      </c>
      <c r="D53" s="12">
        <v>131</v>
      </c>
      <c r="E53" s="12">
        <v>125</v>
      </c>
      <c r="F53" s="12">
        <v>120</v>
      </c>
      <c r="G53">
        <v>7</v>
      </c>
    </row>
    <row r="54" spans="1:7">
      <c r="A54" s="9" t="s">
        <v>63</v>
      </c>
      <c r="B54" s="12">
        <v>658</v>
      </c>
      <c r="C54" s="12">
        <v>386</v>
      </c>
      <c r="D54" s="12">
        <v>124</v>
      </c>
      <c r="E54" s="12">
        <v>123</v>
      </c>
      <c r="F54" s="12">
        <v>128</v>
      </c>
      <c r="G54" s="9">
        <v>6</v>
      </c>
    </row>
    <row r="55" spans="1:7">
      <c r="A55" s="9" t="s">
        <v>64</v>
      </c>
      <c r="B55" s="12">
        <v>658</v>
      </c>
      <c r="C55" s="12">
        <v>390</v>
      </c>
      <c r="D55" s="12">
        <v>123</v>
      </c>
      <c r="E55" s="12">
        <v>127</v>
      </c>
      <c r="F55" s="12">
        <v>124</v>
      </c>
      <c r="G55">
        <v>3</v>
      </c>
    </row>
    <row r="56" spans="1:7">
      <c r="A56" s="9" t="s">
        <v>65</v>
      </c>
      <c r="B56" s="12">
        <v>656</v>
      </c>
      <c r="C56" s="12">
        <v>386</v>
      </c>
      <c r="D56" s="12">
        <v>120</v>
      </c>
      <c r="E56" s="12">
        <v>131</v>
      </c>
      <c r="F56" s="12">
        <v>128</v>
      </c>
      <c r="G56">
        <v>4</v>
      </c>
    </row>
    <row r="57" spans="1:7">
      <c r="A57" s="9" t="s">
        <v>66</v>
      </c>
      <c r="B57" s="12">
        <v>654</v>
      </c>
      <c r="C57" s="12">
        <v>375</v>
      </c>
      <c r="D57" s="12">
        <v>130</v>
      </c>
      <c r="E57" s="12">
        <v>116</v>
      </c>
      <c r="F57" s="12">
        <v>135</v>
      </c>
      <c r="G57">
        <v>2</v>
      </c>
    </row>
    <row r="58" spans="1:7">
      <c r="A58" s="9" t="s">
        <v>67</v>
      </c>
      <c r="B58" s="12">
        <v>651</v>
      </c>
      <c r="C58" s="12">
        <v>392</v>
      </c>
      <c r="D58" s="12">
        <v>130</v>
      </c>
      <c r="E58" s="12">
        <v>130</v>
      </c>
      <c r="F58" s="12">
        <v>115</v>
      </c>
      <c r="G58">
        <v>3</v>
      </c>
    </row>
    <row r="59" spans="1:7">
      <c r="A59" s="9" t="s">
        <v>68</v>
      </c>
      <c r="B59" s="9">
        <v>648.5</v>
      </c>
      <c r="C59" s="9">
        <v>377.5</v>
      </c>
      <c r="D59" s="12">
        <v>127</v>
      </c>
      <c r="E59" s="12">
        <v>126</v>
      </c>
      <c r="F59" s="12">
        <v>124</v>
      </c>
      <c r="G59">
        <v>2</v>
      </c>
    </row>
  </sheetData>
  <sortState ref="A2:G59">
    <sortCondition ref="B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B2" sqref="B2"/>
    </sheetView>
  </sheetViews>
  <sheetFormatPr defaultColWidth="9.23076923076923" defaultRowHeight="16.8" outlineLevelRow="3"/>
  <cols>
    <col min="1" max="1" width="29.0096153846154" customWidth="1"/>
    <col min="2" max="2" width="23.3942307692308" customWidth="1"/>
    <col min="11" max="11" width="16.5" customWidth="1"/>
  </cols>
  <sheetData>
    <row r="1" spans="1:11">
      <c r="A1" t="s">
        <v>69</v>
      </c>
      <c r="B1" s="9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K1" t="s">
        <v>70</v>
      </c>
    </row>
    <row r="2" spans="1:11">
      <c r="A2" s="10" t="s">
        <v>71</v>
      </c>
      <c r="B2" s="11" t="s">
        <v>72</v>
      </c>
      <c r="C2" s="12">
        <f>730-50</f>
        <v>680</v>
      </c>
      <c r="D2" s="12">
        <v>399</v>
      </c>
      <c r="E2" s="12">
        <v>118</v>
      </c>
      <c r="F2" s="12">
        <v>137</v>
      </c>
      <c r="G2" s="12">
        <v>135</v>
      </c>
      <c r="H2">
        <v>10</v>
      </c>
      <c r="K2">
        <v>363</v>
      </c>
    </row>
    <row r="3" spans="1:8">
      <c r="A3" s="10" t="s">
        <v>73</v>
      </c>
      <c r="B3" s="13" t="s">
        <v>17</v>
      </c>
      <c r="C3" s="9">
        <f>739.5-50</f>
        <v>689.5</v>
      </c>
      <c r="D3" s="9">
        <v>405.5</v>
      </c>
      <c r="E3" s="12">
        <v>135</v>
      </c>
      <c r="F3" s="12">
        <v>133</v>
      </c>
      <c r="G3" s="12">
        <v>135</v>
      </c>
      <c r="H3">
        <v>9</v>
      </c>
    </row>
    <row r="4" spans="1:8">
      <c r="A4" s="10" t="s">
        <v>71</v>
      </c>
      <c r="B4" s="10" t="s">
        <v>74</v>
      </c>
      <c r="C4" s="9">
        <f>756.5-50</f>
        <v>706.5</v>
      </c>
      <c r="D4" s="9">
        <v>420.5</v>
      </c>
      <c r="E4" s="12">
        <v>137</v>
      </c>
      <c r="F4" s="12">
        <v>136</v>
      </c>
      <c r="G4" s="12">
        <v>137</v>
      </c>
      <c r="H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workbookViewId="0">
      <selection activeCell="F9" sqref="F9"/>
    </sheetView>
  </sheetViews>
  <sheetFormatPr defaultColWidth="9.23076923076923" defaultRowHeight="16.8"/>
  <cols>
    <col min="1" max="1" width="30.2884615384615" customWidth="1"/>
    <col min="2" max="2" width="21.625" customWidth="1"/>
    <col min="3" max="3" width="15.375" customWidth="1"/>
    <col min="4" max="4" width="12.6538461538462" customWidth="1"/>
  </cols>
  <sheetData>
    <row r="1" spans="1:4">
      <c r="A1" s="1" t="s">
        <v>75</v>
      </c>
      <c r="B1" s="1" t="s">
        <v>76</v>
      </c>
      <c r="C1" t="s">
        <v>77</v>
      </c>
      <c r="D1" t="s">
        <v>78</v>
      </c>
    </row>
    <row r="2" spans="1:3">
      <c r="A2" s="2" t="s">
        <v>79</v>
      </c>
      <c r="B2" s="3">
        <v>710</v>
      </c>
      <c r="C2">
        <v>1</v>
      </c>
    </row>
    <row r="3" spans="1:3">
      <c r="A3" s="2" t="s">
        <v>80</v>
      </c>
      <c r="B3" s="3">
        <v>710</v>
      </c>
      <c r="C3">
        <v>1</v>
      </c>
    </row>
    <row r="4" spans="1:3">
      <c r="A4" s="2" t="s">
        <v>81</v>
      </c>
      <c r="B4" s="3">
        <v>710</v>
      </c>
      <c r="C4">
        <v>1</v>
      </c>
    </row>
    <row r="5" spans="1:11">
      <c r="A5" s="2" t="s">
        <v>82</v>
      </c>
      <c r="B5" s="3">
        <v>709.5</v>
      </c>
      <c r="C5">
        <v>1</v>
      </c>
      <c r="K5" s="2"/>
    </row>
    <row r="6" spans="1:11">
      <c r="A6" s="4" t="s">
        <v>83</v>
      </c>
      <c r="B6" s="5">
        <v>693</v>
      </c>
      <c r="C6">
        <v>113</v>
      </c>
      <c r="K6" s="3"/>
    </row>
    <row r="7" spans="1:11">
      <c r="A7" s="2" t="s">
        <v>84</v>
      </c>
      <c r="B7" s="3">
        <v>693</v>
      </c>
      <c r="C7">
        <v>1</v>
      </c>
      <c r="K7" s="3"/>
    </row>
    <row r="8" spans="1:11">
      <c r="A8" s="2" t="s">
        <v>85</v>
      </c>
      <c r="B8" s="3">
        <v>684.5</v>
      </c>
      <c r="C8">
        <v>2</v>
      </c>
      <c r="K8" s="2"/>
    </row>
    <row r="9" spans="1:11">
      <c r="A9" s="6" t="s">
        <v>86</v>
      </c>
      <c r="B9" s="3">
        <v>681.5</v>
      </c>
      <c r="C9">
        <v>114</v>
      </c>
      <c r="K9" s="3"/>
    </row>
    <row r="10" spans="1:11">
      <c r="A10" s="2" t="s">
        <v>87</v>
      </c>
      <c r="B10" s="3">
        <v>678</v>
      </c>
      <c r="C10">
        <v>5</v>
      </c>
      <c r="K10" s="3"/>
    </row>
    <row r="11" spans="1:11">
      <c r="A11" s="2" t="s">
        <v>88</v>
      </c>
      <c r="B11" s="3">
        <v>672</v>
      </c>
      <c r="C11">
        <v>168</v>
      </c>
      <c r="K11" s="2"/>
    </row>
    <row r="12" spans="1:11">
      <c r="A12" s="2" t="s">
        <v>89</v>
      </c>
      <c r="B12" s="3">
        <v>670.5</v>
      </c>
      <c r="C12">
        <v>6</v>
      </c>
      <c r="K12" s="3"/>
    </row>
    <row r="13" spans="1:11">
      <c r="A13" s="2" t="s">
        <v>90</v>
      </c>
      <c r="B13" s="3">
        <v>662</v>
      </c>
      <c r="C13">
        <v>6</v>
      </c>
      <c r="D13">
        <v>55000</v>
      </c>
      <c r="K13" s="3"/>
    </row>
    <row r="14" spans="1:11">
      <c r="A14" s="2" t="s">
        <v>91</v>
      </c>
      <c r="B14" s="3">
        <v>657.5</v>
      </c>
      <c r="C14">
        <v>429</v>
      </c>
      <c r="K14" s="2"/>
    </row>
    <row r="15" spans="1:11">
      <c r="A15" s="2" t="s">
        <v>92</v>
      </c>
      <c r="B15" s="3">
        <v>655.5</v>
      </c>
      <c r="C15">
        <v>1</v>
      </c>
      <c r="K15" s="3"/>
    </row>
    <row r="16" spans="1:11">
      <c r="A16" s="2" t="s">
        <v>93</v>
      </c>
      <c r="B16" s="3">
        <v>650</v>
      </c>
      <c r="C16">
        <v>2</v>
      </c>
      <c r="D16">
        <v>15600</v>
      </c>
      <c r="K16" s="3"/>
    </row>
    <row r="17" spans="1:11">
      <c r="A17" s="2" t="s">
        <v>94</v>
      </c>
      <c r="B17" s="3">
        <v>646</v>
      </c>
      <c r="C17">
        <v>420</v>
      </c>
      <c r="K17" s="3"/>
    </row>
    <row r="18" spans="1:11">
      <c r="A18" s="2" t="s">
        <v>95</v>
      </c>
      <c r="B18" s="3">
        <v>643.5</v>
      </c>
      <c r="C18">
        <v>3</v>
      </c>
      <c r="K18" s="2"/>
    </row>
    <row r="19" spans="1:11">
      <c r="A19" s="2" t="s">
        <v>96</v>
      </c>
      <c r="B19" s="3">
        <v>638</v>
      </c>
      <c r="C19">
        <v>2</v>
      </c>
      <c r="K19" s="3"/>
    </row>
    <row r="20" spans="1:11">
      <c r="A20" s="2" t="s">
        <v>97</v>
      </c>
      <c r="B20" s="3">
        <v>636</v>
      </c>
      <c r="C20">
        <v>336</v>
      </c>
      <c r="K20" s="3"/>
    </row>
    <row r="21" spans="1:11">
      <c r="A21" s="2" t="s">
        <v>98</v>
      </c>
      <c r="B21" s="3">
        <v>627</v>
      </c>
      <c r="C21">
        <v>3</v>
      </c>
      <c r="D21">
        <v>49000</v>
      </c>
      <c r="K21" s="2"/>
    </row>
    <row r="22" spans="1:11">
      <c r="A22" s="2" t="s">
        <v>99</v>
      </c>
      <c r="B22" s="3">
        <v>625</v>
      </c>
      <c r="C22">
        <v>336</v>
      </c>
      <c r="K22" s="3"/>
    </row>
    <row r="23" spans="1:11">
      <c r="A23" s="2" t="s">
        <v>100</v>
      </c>
      <c r="B23" s="3">
        <v>616</v>
      </c>
      <c r="C23">
        <v>10</v>
      </c>
      <c r="D23">
        <v>35000</v>
      </c>
      <c r="K23" s="3"/>
    </row>
    <row r="24" spans="1:11">
      <c r="A24" s="2" t="s">
        <v>101</v>
      </c>
      <c r="B24" s="3">
        <v>611</v>
      </c>
      <c r="C24">
        <v>336</v>
      </c>
      <c r="K24" s="2"/>
    </row>
    <row r="25" spans="1:11">
      <c r="A25" s="2" t="s">
        <v>102</v>
      </c>
      <c r="B25" s="3">
        <v>610.5</v>
      </c>
      <c r="C25">
        <v>4</v>
      </c>
      <c r="K25" s="3"/>
    </row>
    <row r="26" spans="1:11">
      <c r="A26" s="2" t="s">
        <v>103</v>
      </c>
      <c r="B26" s="3">
        <v>603.5</v>
      </c>
      <c r="C26">
        <v>2</v>
      </c>
      <c r="D26">
        <v>16800</v>
      </c>
      <c r="K26" s="3"/>
    </row>
    <row r="27" spans="1:11">
      <c r="A27" s="2" t="s">
        <v>104</v>
      </c>
      <c r="B27" s="3">
        <v>591</v>
      </c>
      <c r="C27">
        <v>8</v>
      </c>
      <c r="D27">
        <v>14000</v>
      </c>
      <c r="K27" s="2"/>
    </row>
    <row r="28" spans="1:11">
      <c r="A28" s="2" t="s">
        <v>105</v>
      </c>
      <c r="B28" s="3">
        <v>589</v>
      </c>
      <c r="C28">
        <v>336</v>
      </c>
      <c r="K28" s="3"/>
    </row>
    <row r="29" spans="1:11">
      <c r="A29" s="2" t="s">
        <v>106</v>
      </c>
      <c r="B29" s="3">
        <v>587</v>
      </c>
      <c r="C29">
        <v>1</v>
      </c>
      <c r="D29">
        <v>19350</v>
      </c>
      <c r="K29" s="2"/>
    </row>
    <row r="30" spans="1:11">
      <c r="A30" s="2" t="s">
        <v>107</v>
      </c>
      <c r="B30" s="3">
        <v>582</v>
      </c>
      <c r="C30">
        <v>4</v>
      </c>
      <c r="D30">
        <v>80000</v>
      </c>
      <c r="K30" s="3"/>
    </row>
    <row r="31" spans="1:11">
      <c r="A31" s="2" t="s">
        <v>108</v>
      </c>
      <c r="B31" s="3">
        <v>576.5</v>
      </c>
      <c r="C31">
        <v>2</v>
      </c>
      <c r="D31">
        <v>17000</v>
      </c>
      <c r="K31" s="3"/>
    </row>
    <row r="32" spans="1:11">
      <c r="A32" s="2" t="s">
        <v>109</v>
      </c>
      <c r="B32" s="3">
        <v>566</v>
      </c>
      <c r="C32">
        <v>2</v>
      </c>
      <c r="D32">
        <v>21000</v>
      </c>
      <c r="K32" s="2"/>
    </row>
    <row r="33" spans="1:11">
      <c r="A33" s="2" t="s">
        <v>110</v>
      </c>
      <c r="B33" s="3">
        <v>565</v>
      </c>
      <c r="C33">
        <v>2</v>
      </c>
      <c r="D33">
        <v>28000</v>
      </c>
      <c r="K33" s="3"/>
    </row>
    <row r="34" spans="1:11">
      <c r="A34" s="2" t="s">
        <v>111</v>
      </c>
      <c r="B34" s="3">
        <v>563.5</v>
      </c>
      <c r="C34">
        <v>2</v>
      </c>
      <c r="D34">
        <v>40000</v>
      </c>
      <c r="K34" s="2"/>
    </row>
    <row r="35" spans="1:11">
      <c r="A35" s="2" t="s">
        <v>112</v>
      </c>
      <c r="B35" s="3">
        <v>561</v>
      </c>
      <c r="C35">
        <v>5</v>
      </c>
      <c r="D35">
        <v>32000</v>
      </c>
      <c r="K35" s="3"/>
    </row>
    <row r="36" spans="1:11">
      <c r="A36" s="2" t="s">
        <v>113</v>
      </c>
      <c r="B36" s="3">
        <v>558.5</v>
      </c>
      <c r="C36">
        <v>256</v>
      </c>
      <c r="K36" s="2"/>
    </row>
    <row r="37" spans="1:11">
      <c r="A37" s="2" t="s">
        <v>114</v>
      </c>
      <c r="B37" s="3">
        <v>551</v>
      </c>
      <c r="C37">
        <v>12</v>
      </c>
      <c r="D37">
        <v>20000</v>
      </c>
      <c r="K37" s="3"/>
    </row>
    <row r="38" spans="1:11">
      <c r="A38" s="2" t="s">
        <v>115</v>
      </c>
      <c r="B38" s="3">
        <v>545.5</v>
      </c>
      <c r="C38">
        <v>4</v>
      </c>
      <c r="D38">
        <v>25000</v>
      </c>
      <c r="K38" s="2"/>
    </row>
    <row r="39" spans="1:11">
      <c r="A39" s="2" t="s">
        <v>116</v>
      </c>
      <c r="B39" s="3">
        <v>534</v>
      </c>
      <c r="C39">
        <v>2</v>
      </c>
      <c r="K39" s="3"/>
    </row>
    <row r="40" spans="1:11">
      <c r="A40" s="2" t="s">
        <v>117</v>
      </c>
      <c r="B40" s="3">
        <v>527.5</v>
      </c>
      <c r="C40">
        <v>36</v>
      </c>
      <c r="D40">
        <v>80000</v>
      </c>
      <c r="K40" s="3"/>
    </row>
    <row r="41" spans="1:11">
      <c r="A41" s="2" t="s">
        <v>118</v>
      </c>
      <c r="B41" s="3">
        <v>526</v>
      </c>
      <c r="C41">
        <v>114</v>
      </c>
      <c r="D41">
        <v>80000</v>
      </c>
      <c r="K41" s="2"/>
    </row>
    <row r="42" ht="18" spans="1:11">
      <c r="A42" s="7" t="s">
        <v>119</v>
      </c>
      <c r="C42">
        <v>2</v>
      </c>
      <c r="D42">
        <v>102000</v>
      </c>
      <c r="K42" s="3"/>
    </row>
    <row r="43" spans="1:11">
      <c r="A43" t="s">
        <v>120</v>
      </c>
      <c r="C43">
        <v>1</v>
      </c>
      <c r="D43">
        <v>100000</v>
      </c>
      <c r="K43" s="2"/>
    </row>
    <row r="44" ht="18" spans="1:11">
      <c r="A44" s="7" t="s">
        <v>121</v>
      </c>
      <c r="C44">
        <v>2</v>
      </c>
      <c r="D44">
        <v>85000</v>
      </c>
      <c r="K44" s="3"/>
    </row>
    <row r="45" spans="11:11">
      <c r="K45" s="2"/>
    </row>
    <row r="46" spans="11:11">
      <c r="K46" s="3"/>
    </row>
    <row r="47" spans="11:11">
      <c r="K47" s="2"/>
    </row>
    <row r="48" spans="11:11">
      <c r="K48" s="3"/>
    </row>
    <row r="49" spans="11:11">
      <c r="K49" s="2"/>
    </row>
    <row r="50" spans="11:11">
      <c r="K50" s="3"/>
    </row>
    <row r="51" spans="11:11">
      <c r="K51" s="2"/>
    </row>
    <row r="52" spans="11:11">
      <c r="K52" s="3"/>
    </row>
    <row r="53" spans="11:11">
      <c r="K53" s="2"/>
    </row>
    <row r="54" spans="11:11">
      <c r="K54" s="3"/>
    </row>
    <row r="55" spans="11:11">
      <c r="K55" s="2"/>
    </row>
    <row r="56" spans="11:11">
      <c r="K56" s="3"/>
    </row>
    <row r="57" spans="11:11">
      <c r="K57" s="2"/>
    </row>
    <row r="58" spans="11:11">
      <c r="K58" s="3"/>
    </row>
    <row r="59" spans="11:11">
      <c r="K59" s="2"/>
    </row>
    <row r="60" spans="11:11">
      <c r="K60" s="3"/>
    </row>
    <row r="61" spans="11:11">
      <c r="K61" s="2"/>
    </row>
    <row r="62" spans="11:11">
      <c r="K62" s="3"/>
    </row>
    <row r="63" spans="11:11">
      <c r="K63" s="2"/>
    </row>
    <row r="64" spans="11:11">
      <c r="K64" s="3"/>
    </row>
    <row r="65" spans="11:11">
      <c r="K65" s="2"/>
    </row>
    <row r="66" spans="11:11">
      <c r="K66" s="3"/>
    </row>
    <row r="67" spans="11:11">
      <c r="K67" s="2"/>
    </row>
    <row r="68" spans="11:11">
      <c r="K68" s="3"/>
    </row>
    <row r="69" spans="11:11">
      <c r="K69" s="2"/>
    </row>
    <row r="70" spans="11:11">
      <c r="K70" s="3"/>
    </row>
    <row r="71" spans="11:11">
      <c r="K71" s="2"/>
    </row>
    <row r="72" spans="11:11">
      <c r="K72" s="3"/>
    </row>
    <row r="73" spans="11:11">
      <c r="K73" s="3"/>
    </row>
    <row r="74" spans="11:11">
      <c r="K74" s="2"/>
    </row>
    <row r="75" spans="11:11">
      <c r="K75" s="3"/>
    </row>
    <row r="76" spans="11:11">
      <c r="K76" s="2"/>
    </row>
    <row r="77" spans="11:11">
      <c r="K77" s="3"/>
    </row>
    <row r="78" spans="11:11">
      <c r="K78" s="2"/>
    </row>
    <row r="79" spans="11:11">
      <c r="K79" s="3"/>
    </row>
    <row r="80" spans="11:11">
      <c r="K80" s="2"/>
    </row>
    <row r="81" spans="11:11">
      <c r="K81" s="3"/>
    </row>
    <row r="82" spans="11:11">
      <c r="K82" s="2"/>
    </row>
    <row r="83" spans="11:11">
      <c r="K83" s="3"/>
    </row>
    <row r="84" spans="11:11">
      <c r="K84" s="2"/>
    </row>
    <row r="85" spans="11:11">
      <c r="K85" s="3"/>
    </row>
    <row r="86" spans="11:11">
      <c r="K86" s="2"/>
    </row>
    <row r="87" spans="11:11">
      <c r="K87" s="3"/>
    </row>
    <row r="88" spans="11:11">
      <c r="K88" s="2"/>
    </row>
    <row r="89" spans="11:11">
      <c r="K89" s="3"/>
    </row>
    <row r="90" spans="11:11">
      <c r="K90" s="2"/>
    </row>
    <row r="91" spans="11:11">
      <c r="K91" s="8"/>
    </row>
    <row r="92" spans="11:11">
      <c r="K92" s="2"/>
    </row>
    <row r="93" spans="11:11">
      <c r="K93" s="8"/>
    </row>
    <row r="94" spans="11:11">
      <c r="K94" s="2"/>
    </row>
    <row r="95" spans="11:11">
      <c r="K95" s="8"/>
    </row>
    <row r="96" spans="11:11">
      <c r="K96" s="2"/>
    </row>
    <row r="97" spans="11:11">
      <c r="K97" s="3"/>
    </row>
    <row r="98" spans="11:11">
      <c r="K98" s="2"/>
    </row>
    <row r="99" spans="11:11">
      <c r="K99" s="3"/>
    </row>
    <row r="100" spans="11:11">
      <c r="K100" s="2"/>
    </row>
    <row r="101" spans="11:11">
      <c r="K101" s="3"/>
    </row>
    <row r="102" spans="11:11">
      <c r="K102" s="2"/>
    </row>
  </sheetData>
  <sortState ref="A2:D44">
    <sortCondition ref="B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分配到区</vt:lpstr>
      <vt:lpstr>分配到校</vt:lpstr>
      <vt:lpstr>平行志愿</vt:lpstr>
      <vt:lpstr>历年初中在校生人数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lance.wang</dc:creator>
  <cp:lastModifiedBy>王志刚</cp:lastModifiedBy>
  <dcterms:created xsi:type="dcterms:W3CDTF">2023-12-20T14:14:00Z</dcterms:created>
  <dcterms:modified xsi:type="dcterms:W3CDTF">2023-12-29T14:14:13Z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5EEBF70ACA41A3D232A581652426CFB9_41</vt:lpwstr>
  </property>
  <property fmtid="{D5CDD505-2E9C-101B-9397-08002B2CF9AE}" pid="3" name="KSOProductBuildVer">
    <vt:lpwstr>2052-6.4.0.8550</vt:lpwstr>
  </property>
</Properties>
</file>